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Зведена матриця" sheetId="1" state="visible" r:id="rId3"/>
    <sheet name="Часова сітка" sheetId="2" state="visible" r:id="rId4"/>
    <sheet name="Чек-лист сесії" sheetId="3" state="visible" r:id="rId5"/>
    <sheet name="Ризик-калькулятор" sheetId="4" state="visible" r:id="rId6"/>
    <sheet name="Червоні прапори" sheetId="5" state="visible" r:id="rId7"/>
    <sheet name="Портфельні правила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<sst xmlns="http://schemas.openxmlformats.org/spreadsheetml/2006/main" count="375" uniqueCount="259">
  <si>
    <t xml:space="preserve">Range Breakout NY Open v5 — Зведена матриця параметрів</t>
  </si>
  <si>
    <t xml:space="preserve">Версія: v5  •  Час: за Києвом (UTC+3 літо / UTC+2 зима)  •  Усі ризики — % від депозиту</t>
  </si>
  <si>
    <t xml:space="preserve">Параметр</t>
  </si>
  <si>
    <t xml:space="preserve">GBP/USD</t>
  </si>
  <si>
    <t xml:space="preserve">EUR/USD</t>
  </si>
  <si>
    <t xml:space="preserve">XAG/USD (срібло)</t>
  </si>
  <si>
    <t xml:space="preserve">XAU/USD (золото)</t>
  </si>
  <si>
    <t xml:space="preserve">Коментар</t>
  </si>
  <si>
    <t xml:space="preserve">RISK</t>
  </si>
  <si>
    <t xml:space="preserve">Risk per trade (%)</t>
  </si>
  <si>
    <t xml:space="preserve">Єдиний для всіх — 2% на угоду</t>
  </si>
  <si>
    <t xml:space="preserve">ДІАПАЗОН</t>
  </si>
  <si>
    <t xml:space="preserve">Start hour (Київ)</t>
  </si>
  <si>
    <t xml:space="preserve">Метали раніше — момент COMEX open</t>
  </si>
  <si>
    <t xml:space="preserve">Start minute</t>
  </si>
  <si>
    <t xml:space="preserve">Duration (хв)</t>
  </si>
  <si>
    <t xml:space="preserve">Метали мають коротший канал</t>
  </si>
  <si>
    <t xml:space="preserve">Min range size</t>
  </si>
  <si>
    <t xml:space="preserve">⚠ XAU: підпис 'XAGUSD adjusted' — імовірно баг (має бути ~3.0)</t>
  </si>
  <si>
    <t xml:space="preserve">СТОП-ЛОСС / ТРЕЙЛІНГ</t>
  </si>
  <si>
    <t xml:space="preserve">Длина ATR</t>
  </si>
  <si>
    <t xml:space="preserve">Initial SL (× ATR)</t>
  </si>
  <si>
    <t xml:space="preserve">XAU — найвужчий, EUR/XAG — найширші</t>
  </si>
  <si>
    <t xml:space="preserve">Trail SL (× ATR)</t>
  </si>
  <si>
    <t xml:space="preserve">Move to BE at (% TP)</t>
  </si>
  <si>
    <t xml:space="preserve">Метали — пізніше в БУ, дають дихати</t>
  </si>
  <si>
    <t xml:space="preserve">ТЕЙК-ПРОФІТ</t>
  </si>
  <si>
    <t xml:space="preserve">Swing lookback (барів)</t>
  </si>
  <si>
    <t xml:space="preserve">Метали — коротші цілі</t>
  </si>
  <si>
    <t xml:space="preserve">RR fallback</t>
  </si>
  <si>
    <t xml:space="preserve">EUR — найвищий RR (3)</t>
  </si>
  <si>
    <t xml:space="preserve">ЧАС</t>
  </si>
  <si>
    <t xml:space="preserve">No entries after (Київ)</t>
  </si>
  <si>
    <t xml:space="preserve">⚠ GBP/XAU: 24 — мертве значення, фактично 22 (Close at 22)</t>
  </si>
  <si>
    <t xml:space="preserve">Max 1 trade per day</t>
  </si>
  <si>
    <t xml:space="preserve">ні</t>
  </si>
  <si>
    <t xml:space="preserve">Не обмежено — теоретично &gt;1 входу</t>
  </si>
  <si>
    <t xml:space="preserve">Close at 22:00 Київ</t>
  </si>
  <si>
    <t xml:space="preserve">так</t>
  </si>
  <si>
    <t xml:space="preserve">Універсально для всіх</t>
  </si>
  <si>
    <t xml:space="preserve">ФІЛЬТРИ</t>
  </si>
  <si>
    <t xml:space="preserve">2nd candle confirmation</t>
  </si>
  <si>
    <t xml:space="preserve">GBP/XAU — на пробої одразу; EUR/XAG — з підтвердженням</t>
  </si>
  <si>
    <t xml:space="preserve">H1 EMA50 trend filter</t>
  </si>
  <si>
    <t xml:space="preserve">НІ</t>
  </si>
  <si>
    <t xml:space="preserve">⚠ EUR — перевірити чи свідомо</t>
  </si>
  <si>
    <t xml:space="preserve">Volume filter</t>
  </si>
  <si>
    <t xml:space="preserve">Volume SMA mult</t>
  </si>
  <si>
    <t xml:space="preserve">На EUR не діє (фільтр вимкнено)</t>
  </si>
  <si>
    <t xml:space="preserve">Часова сітка робочого дня (за Києвом, літній час)</t>
  </si>
  <si>
    <t xml:space="preserve">Узимку всі позначки зміщуються на -1 годину за Києвом (логіка UTC незмінна)</t>
  </si>
  <si>
    <t xml:space="preserve">Час Київ</t>
  </si>
  <si>
    <t xml:space="preserve">UTC (літо)</t>
  </si>
  <si>
    <t xml:space="preserve">XAG срібло</t>
  </si>
  <si>
    <t xml:space="preserve">XAU золото</t>
  </si>
  <si>
    <t xml:space="preserve">Подія / коментар</t>
  </si>
  <si>
    <t xml:space="preserve">16:00</t>
  </si>
  <si>
    <t xml:space="preserve">13:00</t>
  </si>
  <si>
    <t xml:space="preserve">·</t>
  </si>
  <si>
    <t xml:space="preserve">до відкриття</t>
  </si>
  <si>
    <t xml:space="preserve">16:30</t>
  </si>
  <si>
    <t xml:space="preserve">13:30</t>
  </si>
  <si>
    <t xml:space="preserve">СТАРТ канал</t>
  </si>
  <si>
    <t xml:space="preserve">🔔 старт каналу металів (COMEX open)</t>
  </si>
  <si>
    <t xml:space="preserve">16:40</t>
  </si>
  <si>
    <t xml:space="preserve">13:40</t>
  </si>
  <si>
    <t xml:space="preserve">формується канал</t>
  </si>
  <si>
    <t xml:space="preserve">16:50</t>
  </si>
  <si>
    <t xml:space="preserve">13:50</t>
  </si>
  <si>
    <t xml:space="preserve">✓ канал зафіксовано — entries open</t>
  </si>
  <si>
    <t xml:space="preserve">🟢 метали — вхід дозволено (якщо канал ≥ min)</t>
  </si>
  <si>
    <t xml:space="preserve">17:00</t>
  </si>
  <si>
    <t xml:space="preserve">14:00</t>
  </si>
  <si>
    <t xml:space="preserve">trade window</t>
  </si>
  <si>
    <t xml:space="preserve">17:30</t>
  </si>
  <si>
    <t xml:space="preserve">14:30</t>
  </si>
  <si>
    <t xml:space="preserve">🔔 старт каналу EUR/GBP (NY open фьюч/опц)</t>
  </si>
  <si>
    <t xml:space="preserve">17:40</t>
  </si>
  <si>
    <t xml:space="preserve">14:40</t>
  </si>
  <si>
    <t xml:space="preserve">18:00</t>
  </si>
  <si>
    <t xml:space="preserve">15:00</t>
  </si>
  <si>
    <t xml:space="preserve">🟢 EUR/GBP — вхід дозволено + 🔔 NYSE open</t>
  </si>
  <si>
    <t xml:space="preserve">19:00</t>
  </si>
  <si>
    <t xml:space="preserve">пік ліквідності</t>
  </si>
  <si>
    <t xml:space="preserve">20:00</t>
  </si>
  <si>
    <t xml:space="preserve">СТОП нових входів</t>
  </si>
  <si>
    <t xml:space="preserve">🔴 EUR — СТОП входів (тільки керування)</t>
  </si>
  <si>
    <t xml:space="preserve">21:00</t>
  </si>
  <si>
    <t xml:space="preserve">тільки керування відкритими</t>
  </si>
  <si>
    <t xml:space="preserve">22:00</t>
  </si>
  <si>
    <t xml:space="preserve">ЗАКРИТТЯ всіх позицій</t>
  </si>
  <si>
    <t xml:space="preserve">✗ закриття ВСІХ позицій + кінець торгового дня</t>
  </si>
  <si>
    <t xml:space="preserve">Легенда</t>
  </si>
  <si>
    <t xml:space="preserve">поза вікном (нічого не робимо)</t>
  </si>
  <si>
    <t xml:space="preserve">СТАРТ / формується канал</t>
  </si>
  <si>
    <t xml:space="preserve">вікно фіксації каналу (вхід поки заборонено)</t>
  </si>
  <si>
    <t xml:space="preserve">✓ entries open</t>
  </si>
  <si>
    <t xml:space="preserve">канал зафіксовано, чекаємо пробою з фільтрами</t>
  </si>
  <si>
    <t xml:space="preserve">активне вікно для відкриття/керування позиціями</t>
  </si>
  <si>
    <t xml:space="preserve">СТОП входів</t>
  </si>
  <si>
    <t xml:space="preserve">нові угоди заборонені, керуємо вже відкритими</t>
  </si>
  <si>
    <t xml:space="preserve">ЗАКРИТТЯ всіх</t>
  </si>
  <si>
    <t xml:space="preserve">примусове закриття всіх позицій, кінець дня</t>
  </si>
  <si>
    <t xml:space="preserve">Чек-лист трейдера на сесію</t>
  </si>
  <si>
    <t xml:space="preserve">✓</t>
  </si>
  <si>
    <t xml:space="preserve">Пункт</t>
  </si>
  <si>
    <t xml:space="preserve">Коли</t>
  </si>
  <si>
    <t xml:space="preserve">ПЕРЕД СЕСІЄЮ (за 15-30 хв до 16:30)</t>
  </si>
  <si>
    <t xml:space="preserve">☐</t>
  </si>
  <si>
    <t xml:space="preserve">Перевірив економічний календар на high-impact news (FOMC, NFP, CPI)?</t>
  </si>
  <si>
    <t xml:space="preserve">до 16:00</t>
  </si>
  <si>
    <t xml:space="preserve">Депозит і вільна маржа в нормі?</t>
  </si>
  <si>
    <t xml:space="preserve">EA увімкнений на всіх 4 інструментах (GBP/EUR/XAG/XAU)?</t>
  </si>
  <si>
    <t xml:space="preserve">до 16:25</t>
  </si>
  <si>
    <t xml:space="preserve">H1 EMA50 завантажений на всіх графіках?</t>
  </si>
  <si>
    <t xml:space="preserve">Зв'язок з брокером стабільний, VPS працює?</t>
  </si>
  <si>
    <t xml:space="preserve">Враховано літній/зимовий час (UTC точно той самий)?</t>
  </si>
  <si>
    <t xml:space="preserve">одноразово</t>
  </si>
  <si>
    <t xml:space="preserve">Логбук відкритий для запису?</t>
  </si>
  <si>
    <t xml:space="preserve">до 16:30</t>
  </si>
  <si>
    <t xml:space="preserve">ВІКНО МЕТАЛІВ (16:30 – 22:00)</t>
  </si>
  <si>
    <t xml:space="preserve">Канал XAU/XAG формується 16:30-16:50, нічого НЕ робимо?</t>
  </si>
  <si>
    <t xml:space="preserve">16:30-16:50</t>
  </si>
  <si>
    <t xml:space="preserve">Канал XAG ≥ 0.03 (300 пп)? Якщо ні — пропуск дня по XAG</t>
  </si>
  <si>
    <t xml:space="preserve">Канал XAU ≥ 3.0 (300 пп)? Якщо ні — пропуск (⚠ перевір код)</t>
  </si>
  <si>
    <t xml:space="preserve">Перевірив H1 EMA50 напрямок перед входом?</t>
  </si>
  <si>
    <t xml:space="preserve">при сигналі</t>
  </si>
  <si>
    <t xml:space="preserve">Перевірив об'єм пробою ≥ 1.7×SMA (XAU) / 1.4×SMA (XAG)?</t>
  </si>
  <si>
    <t xml:space="preserve">Для XAG — друга свічка підтвердила пробій?</t>
  </si>
  <si>
    <t xml:space="preserve">SL виставлений: XAU = 1×ATR(100), XAG = 2×ATR(100)?</t>
  </si>
  <si>
    <t xml:space="preserve">при відкритті</t>
  </si>
  <si>
    <t xml:space="preserve">BE підтягую при 50% TP?</t>
  </si>
  <si>
    <t xml:space="preserve">по ходу</t>
  </si>
  <si>
    <t xml:space="preserve">ВІКНО EUR/GBP (17:30 – 22:00)</t>
  </si>
  <si>
    <t xml:space="preserve">Канал EUR/GBP формується 17:30-18:00, нічого НЕ робимо?</t>
  </si>
  <si>
    <t xml:space="preserve">17:30-18:00</t>
  </si>
  <si>
    <t xml:space="preserve">Канал ≥ 0.0008 (8 пп)? Якщо ні — пропуск</t>
  </si>
  <si>
    <t xml:space="preserve">Для GBP перевірив: H1 EMA + об'єм ≥ 1.7×SMA?</t>
  </si>
  <si>
    <t xml:space="preserve">Для EUR перевірив: 2-га свічка підтвердила? (HTF/volume фільтри ВИМКНЕНІ)</t>
  </si>
  <si>
    <t xml:space="preserve">SL: GBP = 1.2×ATR, EUR = 2×ATR?</t>
  </si>
  <si>
    <t xml:space="preserve">BE при 20% TP підтягнутий?</t>
  </si>
  <si>
    <t xml:space="preserve">EUR — після 20:00 нових входів НЕ відкриваю?</t>
  </si>
  <si>
    <t xml:space="preserve">ЗАКРИТТЯ ДНЯ (22:00)</t>
  </si>
  <si>
    <t xml:space="preserve">Всі позиції закрилися о 22:00 (перевірити термінал)?</t>
  </si>
  <si>
    <t xml:space="preserve">Записав підсумок дня в логбук: входи, виходи, помилки?</t>
  </si>
  <si>
    <t xml:space="preserve">22:00-22:30</t>
  </si>
  <si>
    <t xml:space="preserve">Скріни ключових моментів збережені?</t>
  </si>
  <si>
    <t xml:space="preserve">Підрахував денний P&amp;L у % від депозиту?</t>
  </si>
  <si>
    <t xml:space="preserve">22:30</t>
  </si>
  <si>
    <t xml:space="preserve">Якщо денний P&amp;L ≤ -4% — завтра пауза/менший ризик?</t>
  </si>
  <si>
    <t xml:space="preserve">Ризик-калькулятор позиції</t>
  </si>
  <si>
    <t xml:space="preserve">Сині комірки — ваші вводи. Чорні — формули. ATR підставте поточний для дня.</t>
  </si>
  <si>
    <t xml:space="preserve">ВВОДИ</t>
  </si>
  <si>
    <t xml:space="preserve">Депозит ($)</t>
  </si>
  <si>
    <t xml:space="preserve">Ризик на угоду (%)</t>
  </si>
  <si>
    <t xml:space="preserve">Макс. збиток на угоду ($)</t>
  </si>
  <si>
    <t xml:space="preserve">РОЗРАХУНОК ПО ІНСТРУМЕНТАХ</t>
  </si>
  <si>
    <t xml:space="preserve">Інструмент</t>
  </si>
  <si>
    <t xml:space="preserve">ATR(100) поточн.</t>
  </si>
  <si>
    <t xml:space="preserve">SL множник</t>
  </si>
  <si>
    <t xml:space="preserve">SL у валюті</t>
  </si>
  <si>
    <t xml:space="preserve">$ на 1 лот за SL</t>
  </si>
  <si>
    <t xml:space="preserve">Лотів</t>
  </si>
  <si>
    <t xml:space="preserve">XAG/USD</t>
  </si>
  <si>
    <t xml:space="preserve">XAU/USD</t>
  </si>
  <si>
    <t xml:space="preserve">⚠ Розрахунок наближений (припускає 1 std lot = 100k базової / 5000 oz XAG / 100 oz XAU). Звірте з калькулятором свого брокера. Мінімальний крок лота — зазвичай 0.01.</t>
  </si>
  <si>
    <t xml:space="preserve">Червоні прапори і питання до коду EA</t>
  </si>
  <si>
    <t xml:space="preserve">Перевірити перед запуском на реальному рахунку</t>
  </si>
  <si>
    <t xml:space="preserve">#</t>
  </si>
  <si>
    <t xml:space="preserve">Опис проблеми</t>
  </si>
  <si>
    <t xml:space="preserve">Рекомендація</t>
  </si>
  <si>
    <t xml:space="preserve">Min range size = 0.03</t>
  </si>
  <si>
    <t xml:space="preserve">Підпис у налаштуваннях 'XAGUSD adjusted' — параметр не оновлено після клонування з шаблону срібла. Для золота при ціні ~$2400 значення 0.03 = 3 тіки, тобто фільтр фактично ВИМКНЕНО.</t>
  </si>
  <si>
    <t xml:space="preserve">Виставити ~3.0 ($3) або більше. Перевірити, як код інтерпретує значення (буквально чи з коефіцієнтом).</t>
  </si>
  <si>
    <t xml:space="preserve">H1 EMA50 trend filter = OFF</t>
  </si>
  <si>
    <t xml:space="preserve">На GBP/XAG/XAU фільтр увімкнений (так), на EUR — НІ. Без HTF-фільтра входимо проти старшого тренду.</t>
  </si>
  <si>
    <t xml:space="preserve">Підтвердити: свідоме рішення після бектесту чи помилка/забуто увімкнути.</t>
  </si>
  <si>
    <t xml:space="preserve">Volume filter = OFF</t>
  </si>
  <si>
    <t xml:space="preserve">Аналогічно — на всіх інших volume-фільтр увімкнений. Параметр Volume SMA mult=1.3 на EUR став мертвим.</t>
  </si>
  <si>
    <t xml:space="preserve">Підтвердити свідомість рішення; або увімкнути; або документувати причину.</t>
  </si>
  <si>
    <t xml:space="preserve">No entries after = 24</t>
  </si>
  <si>
    <t xml:space="preserve">GBP/USD, XAU/USD</t>
  </si>
  <si>
    <t xml:space="preserve">Заявлено заборону входів після 24:00, але 'Close at 22:00' закриває все о 22:00 — параметр мертвий, фактичне вікно 22:00.</t>
  </si>
  <si>
    <t xml:space="preserve">Виправити параметр на 22 для чистоти. Не критично, але плутає інтерпретацію.</t>
  </si>
  <si>
    <t xml:space="preserve">Max 1 trade per day = OFF</t>
  </si>
  <si>
    <t xml:space="preserve">Усі 4 інструменти</t>
  </si>
  <si>
    <t xml:space="preserve">Не обмежено кількість входів за день. Після TP/SL і повторного сигналу можливий 2-й, 3-й вхід — каскад збитків при шумовому дні.</t>
  </si>
  <si>
    <t xml:space="preserve">Розглянути cap 1-2 входи на інструмент на день. Альтернатива — увімкнути Max 1 trade per day.</t>
  </si>
  <si>
    <t xml:space="preserve">Initial SL інверсія EUR vs GBP</t>
  </si>
  <si>
    <t xml:space="preserve">EUR/USD vs GBP/USD</t>
  </si>
  <si>
    <t xml:space="preserve">При однаковому часі (17:30) та однаковому Min range (0.0008), EUR має ширший SL (2×ATR) ніж GBP (1.2×ATR). Можливо, обґрунтовано різницею у ATR, але виглядає неузгоджено.</t>
  </si>
  <si>
    <t xml:space="preserve">Звірити з історичною волатильністю на 17:30-22:00. Уніфікувати, якщо немає різниці.</t>
  </si>
  <si>
    <t xml:space="preserve">Min range XAG = 0.03</t>
  </si>
  <si>
    <t xml:space="preserve">Для срібла при ціні $30 значення 0.03 (3 центи) — мінімальний канал 0.1%. Може бути замалим для трендових пробоїв на сріблі.</t>
  </si>
  <si>
    <t xml:space="preserve">Перевірити на бектесті — який % днів проходить фільтр; чи не торгуєте 'мертві' дні.</t>
  </si>
  <si>
    <t xml:space="preserve">Портфельні правила управління ризиком</t>
  </si>
  <si>
    <t xml:space="preserve">Правила, які діють поверх параметрів окремих стратегій</t>
  </si>
  <si>
    <t xml:space="preserve">Правило</t>
  </si>
  <si>
    <t xml:space="preserve">Значення</t>
  </si>
  <si>
    <t xml:space="preserve">Обґрунтування</t>
  </si>
  <si>
    <t xml:space="preserve">РИЗИК НА ПОРТФЕЛЬ</t>
  </si>
  <si>
    <t xml:space="preserve">Макс. ризик на 1 угоду</t>
  </si>
  <si>
    <t xml:space="preserve">2% депозиту</t>
  </si>
  <si>
    <t xml:space="preserve">Як у конфігах. Не підвищувати — серія 5 збитків = -10% депо.</t>
  </si>
  <si>
    <t xml:space="preserve">Макс. одночасний відкритий ризик</t>
  </si>
  <si>
    <t xml:space="preserve">5% депозиту</t>
  </si>
  <si>
    <t xml:space="preserve">Якщо одночасно 4 позиції по 2% — це 8% потенційного збитку, забагато. Cap: при наявності 2+ позицій, нові пропускати або зменшити ризик до 1%.</t>
  </si>
  <si>
    <t xml:space="preserve">Денний ліміт просадки (daily DD stop)</t>
  </si>
  <si>
    <t xml:space="preserve">−4% депозиту</t>
  </si>
  <si>
    <t xml:space="preserve">Якщо за день мінус 4% — повне зупинення EA до завтра. Захист від чорних лебедів і кореляційних каскадів.</t>
  </si>
  <si>
    <t xml:space="preserve">Тижневий ліміт просадки</t>
  </si>
  <si>
    <t xml:space="preserve">−8% депозиту</t>
  </si>
  <si>
    <t xml:space="preserve">Якщо за тиждень мінус 8% — пауза до понеділка наступного тижня + ревізія логів.</t>
  </si>
  <si>
    <t xml:space="preserve">Місячний ліміт</t>
  </si>
  <si>
    <t xml:space="preserve">−12% депозиту</t>
  </si>
  <si>
    <t xml:space="preserve">Якщо за місяць мінус 12% — повна зупинка, бектест на актуальних даних, ревізія стратегії перед повторним запуском.</t>
  </si>
  <si>
    <t xml:space="preserve">КОРЕЛЯЦІЇ</t>
  </si>
  <si>
    <t xml:space="preserve">XAU + XAG одночасно</t>
  </si>
  <si>
    <t xml:space="preserve">Дозволено, але ризик ділиться</t>
  </si>
  <si>
    <t xml:space="preserve">Кореляція 0.7-0.9 — фактично одна угода. При відкритті XAG зменшити ризик на XAU до 1% (або навпаки).</t>
  </si>
  <si>
    <t xml:space="preserve">GBP + EUR одночасно</t>
  </si>
  <si>
    <t xml:space="preserve">Дозволено з обережністю</t>
  </si>
  <si>
    <t xml:space="preserve">Кореляція 0.5-0.8. Якщо обидві в одному напрямку — це фактично подвоєна доларова позиція. Cap: загальний ризик 3% по парі.</t>
  </si>
  <si>
    <t xml:space="preserve">Метали + валюти</t>
  </si>
  <si>
    <t xml:space="preserve">Дозволено повністю</t>
  </si>
  <si>
    <t xml:space="preserve">Низька кореляція, можна тримати обидві групи паралельно з повними розмірами.</t>
  </si>
  <si>
    <t xml:space="preserve">СЕРІЇ ЗБИТКІВ</t>
  </si>
  <si>
    <t xml:space="preserve">Після 2 збитків поспіль</t>
  </si>
  <si>
    <t xml:space="preserve">Зменшити ризик до 1%</t>
  </si>
  <si>
    <t xml:space="preserve">Адаптація до 'нерезонансного' ринкового режиму.</t>
  </si>
  <si>
    <t xml:space="preserve">Після 3 збитків поспіль</t>
  </si>
  <si>
    <t xml:space="preserve">Пауза до завтра</t>
  </si>
  <si>
    <t xml:space="preserve">Серія = ймовірний зсув режиму ринку. Краще пропустити день і подивитись на дистанції.</t>
  </si>
  <si>
    <t xml:space="preserve">Після 5 збитків поспіль</t>
  </si>
  <si>
    <t xml:space="preserve">Пауза 3 дні + ревізія</t>
  </si>
  <si>
    <t xml:space="preserve">Перевірити: чи не змінився характер ринку (волатильність, тренди, новини), чи не потрібна повторна оптимізація параметрів.</t>
  </si>
  <si>
    <t xml:space="preserve">НОВИНИ</t>
  </si>
  <si>
    <t xml:space="preserve">FOMC / NFP / CPI day</t>
  </si>
  <si>
    <t xml:space="preserve">Закрити автоматичну торгівлю</t>
  </si>
  <si>
    <t xml:space="preserve">Вимкнути EA за 30 хв до релізу і увімкнути через 30 хв після. Дикі рухи + розширення спреду = слив навіть гарних сетапів.</t>
  </si>
  <si>
    <t xml:space="preserve">Великі ECB / BoE рішення</t>
  </si>
  <si>
    <t xml:space="preserve">EUR / GBP вимкнути</t>
  </si>
  <si>
    <t xml:space="preserve">Конкретний інструмент під події ЦБ — вимкнути; інші можуть працювати.</t>
  </si>
  <si>
    <t xml:space="preserve">Передсвяткові / святкові дні</t>
  </si>
  <si>
    <t xml:space="preserve">Зменшити ризик до 1% або пауза</t>
  </si>
  <si>
    <t xml:space="preserve">Тонкий ринок, нетипові рухи, низька ліквідність.</t>
  </si>
  <si>
    <t xml:space="preserve">ТЕХНІЧНІ</t>
  </si>
  <si>
    <t xml:space="preserve">Перевірка часу сервера</t>
  </si>
  <si>
    <t xml:space="preserve">Перед сесією щодня</t>
  </si>
  <si>
    <t xml:space="preserve">Час брокера часто UTC+2/+3 — звірити, що 16:30/17:30 EA інтерпретує як київський, а не серверний.</t>
  </si>
  <si>
    <t xml:space="preserve">Зимовий/літній час</t>
  </si>
  <si>
    <t xml:space="preserve">Перевірити при переході</t>
  </si>
  <si>
    <t xml:space="preserve">Будь-який перехід (березень/листопад) — звірити, що логіка прив'язана до UTC, а не до локального.</t>
  </si>
  <si>
    <t xml:space="preserve">VPS uptime</t>
  </si>
  <si>
    <t xml:space="preserve">Моніторити</t>
  </si>
  <si>
    <t xml:space="preserve">Якщо VPS впав посеред сесії — позиції без керування. Налаштувати алерти.</t>
  </si>
  <si>
    <t xml:space="preserve">Лог дня</t>
  </si>
  <si>
    <t xml:space="preserve">Обов'язково писати</t>
  </si>
  <si>
    <t xml:space="preserve">Кожен день: входи (час, інструмент, причина), виходи, P&amp;L, помилки, спостереження.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</si>
</sst>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\$#,##0.00"/>
    <numFmt numFmtId="166" formatCode="0.00000"/>
    <numFmt numFmtId="167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9C0006"/>
      <name val="Arial"/>
      <family val="0"/>
      <charset val="1"/>
    </font>
    <font>
      <sz val="10"/>
      <color rgb="FF0000FF"/>
      <name val="Arial"/>
      <family val="0"/>
      <charset val="1"/>
    </font>
    <font>
      <sz val="10"/>
      <color rgb="FF000000"/>
      <name val="Arial"/>
      <family val="0"/>
      <charset val="1"/>
    </font>
  </fonts>
  <fills count="11">
    <fill>
      <patternFill patternType="none"/>
    </fill>
    <fill>
      <patternFill patternType="gray125"/>
    </fill>
    <fill>
      <patternFill patternType="solid">
        <fgColor rgb="FF1F4E78"/>
        <bgColor rgb="FF305496"/>
      </patternFill>
    </fill>
    <fill>
      <patternFill patternType="solid">
        <fgColor rgb="FF305496"/>
        <bgColor rgb="FF1F4E78"/>
      </patternFill>
    </fill>
    <fill>
      <patternFill patternType="solid">
        <fgColor rgb="FF2E75B6"/>
        <bgColor rgb="FF305496"/>
      </patternFill>
    </fill>
    <fill>
      <patternFill patternType="solid">
        <fgColor rgb="FFFFE699"/>
        <bgColor rgb="FFFFF2CC"/>
      </patternFill>
    </fill>
    <fill>
      <patternFill patternType="solid">
        <fgColor rgb="FFC6EFCE"/>
        <bgColor rgb="FFCCFFFF"/>
      </patternFill>
    </fill>
    <fill>
      <patternFill patternType="solid">
        <fgColor rgb="FFF4B084"/>
        <bgColor rgb="FFFF99CC"/>
      </patternFill>
    </fill>
    <fill>
      <patternFill patternType="solid">
        <fgColor rgb="FFFFF2CC"/>
        <bgColor rgb="FFEDEDED"/>
      </patternFill>
    </fill>
    <fill>
      <patternFill patternType="solid">
        <fgColor rgb="FFC00000"/>
        <bgColor rgb="FF9C0006"/>
      </patternFill>
    </fill>
    <fill>
      <patternFill patternType="solid">
        <fgColor rgb="FFEDEDED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5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7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DEDED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4B084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4E78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0"/>
    <col collapsed="false" customWidth="true" hidden="false" outlineLevel="0" max="5" min="2" style="0" width="14"/>
    <col collapsed="false" customWidth="true" hidden="false" outlineLevel="0" max="6" min="6" style="0" width="55"/>
  </cols>
  <sheetData>
    <row r="1" customFormat="false" ht="24" hidden="false" customHeight="true" outlineLevel="0" collapsed="false">
      <c r="A1" s="1" t="s">
        <v>0</v>
      </c>
      <c r="B1" s="1"/>
      <c r="C1" s="1"/>
      <c r="D1" s="1"/>
      <c r="E1" s="1"/>
      <c r="F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</row>
    <row r="4" customFormat="false" ht="24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customFormat="false" ht="19.5" hidden="false" customHeight="true" outlineLevel="0" collapsed="false">
      <c r="A5" s="4" t="s">
        <v>8</v>
      </c>
      <c r="B5" s="4"/>
      <c r="C5" s="4"/>
      <c r="D5" s="4"/>
      <c r="E5" s="4"/>
      <c r="F5" s="4"/>
    </row>
    <row r="6" customFormat="false" ht="15" hidden="false" customHeight="false" outlineLevel="0" collapsed="false">
      <c r="A6" s="5" t="s">
        <v>9</v>
      </c>
      <c r="B6" s="6" t="n">
        <v>2</v>
      </c>
      <c r="C6" s="6" t="n">
        <v>2</v>
      </c>
      <c r="D6" s="6" t="n">
        <v>2</v>
      </c>
      <c r="E6" s="6" t="n">
        <v>2</v>
      </c>
      <c r="F6" s="7" t="s">
        <v>10</v>
      </c>
    </row>
    <row r="7" customFormat="false" ht="19.5" hidden="false" customHeight="true" outlineLevel="0" collapsed="false">
      <c r="A7" s="4" t="s">
        <v>11</v>
      </c>
      <c r="B7" s="4"/>
      <c r="C7" s="4"/>
      <c r="D7" s="4"/>
      <c r="E7" s="4"/>
      <c r="F7" s="4"/>
    </row>
    <row r="8" customFormat="false" ht="15" hidden="false" customHeight="false" outlineLevel="0" collapsed="false">
      <c r="A8" s="5" t="s">
        <v>12</v>
      </c>
      <c r="B8" s="6" t="n">
        <v>17</v>
      </c>
      <c r="C8" s="6" t="n">
        <v>17</v>
      </c>
      <c r="D8" s="6" t="n">
        <v>16</v>
      </c>
      <c r="E8" s="6" t="n">
        <v>16</v>
      </c>
      <c r="F8" s="7" t="s">
        <v>13</v>
      </c>
    </row>
    <row r="9" customFormat="false" ht="15" hidden="false" customHeight="false" outlineLevel="0" collapsed="false">
      <c r="A9" s="5" t="s">
        <v>14</v>
      </c>
      <c r="B9" s="6" t="n">
        <v>30</v>
      </c>
      <c r="C9" s="6" t="n">
        <v>30</v>
      </c>
      <c r="D9" s="6" t="n">
        <v>30</v>
      </c>
      <c r="E9" s="6" t="n">
        <v>30</v>
      </c>
      <c r="F9" s="7"/>
    </row>
    <row r="10" customFormat="false" ht="15" hidden="false" customHeight="false" outlineLevel="0" collapsed="false">
      <c r="A10" s="5" t="s">
        <v>15</v>
      </c>
      <c r="B10" s="6" t="n">
        <v>30</v>
      </c>
      <c r="C10" s="6" t="n">
        <v>30</v>
      </c>
      <c r="D10" s="6" t="n">
        <v>20</v>
      </c>
      <c r="E10" s="6" t="n">
        <v>20</v>
      </c>
      <c r="F10" s="7" t="s">
        <v>16</v>
      </c>
    </row>
    <row r="11" customFormat="false" ht="23.85" hidden="false" customHeight="false" outlineLevel="0" collapsed="false">
      <c r="A11" s="5" t="s">
        <v>17</v>
      </c>
      <c r="B11" s="6" t="n">
        <v>0.0008</v>
      </c>
      <c r="C11" s="6" t="n">
        <v>0.0008</v>
      </c>
      <c r="D11" s="6" t="n">
        <v>0.03</v>
      </c>
      <c r="E11" s="6" t="n">
        <v>0.03</v>
      </c>
      <c r="F11" s="8" t="s">
        <v>18</v>
      </c>
    </row>
    <row r="12" customFormat="false" ht="19.5" hidden="false" customHeight="true" outlineLevel="0" collapsed="false">
      <c r="A12" s="4" t="s">
        <v>19</v>
      </c>
      <c r="B12" s="4"/>
      <c r="C12" s="4"/>
      <c r="D12" s="4"/>
      <c r="E12" s="4"/>
      <c r="F12" s="4"/>
    </row>
    <row r="13" customFormat="false" ht="15" hidden="false" customHeight="false" outlineLevel="0" collapsed="false">
      <c r="A13" s="5" t="s">
        <v>20</v>
      </c>
      <c r="B13" s="6" t="n">
        <v>100</v>
      </c>
      <c r="C13" s="6" t="n">
        <v>100</v>
      </c>
      <c r="D13" s="6" t="n">
        <v>100</v>
      </c>
      <c r="E13" s="6" t="n">
        <v>100</v>
      </c>
      <c r="F13" s="7"/>
    </row>
    <row r="14" customFormat="false" ht="15" hidden="false" customHeight="false" outlineLevel="0" collapsed="false">
      <c r="A14" s="5" t="s">
        <v>21</v>
      </c>
      <c r="B14" s="6" t="n">
        <v>1.2</v>
      </c>
      <c r="C14" s="6" t="n">
        <v>2</v>
      </c>
      <c r="D14" s="6" t="n">
        <v>2</v>
      </c>
      <c r="E14" s="6" t="n">
        <v>1</v>
      </c>
      <c r="F14" s="7" t="s">
        <v>22</v>
      </c>
    </row>
    <row r="15" customFormat="false" ht="15" hidden="false" customHeight="false" outlineLevel="0" collapsed="false">
      <c r="A15" s="5" t="s">
        <v>23</v>
      </c>
      <c r="B15" s="6" t="n">
        <v>1</v>
      </c>
      <c r="C15" s="6" t="n">
        <v>1</v>
      </c>
      <c r="D15" s="6" t="n">
        <v>1</v>
      </c>
      <c r="E15" s="6" t="n">
        <v>1</v>
      </c>
      <c r="F15" s="7"/>
    </row>
    <row r="16" customFormat="false" ht="15" hidden="false" customHeight="false" outlineLevel="0" collapsed="false">
      <c r="A16" s="5" t="s">
        <v>24</v>
      </c>
      <c r="B16" s="6" t="n">
        <v>20</v>
      </c>
      <c r="C16" s="6" t="n">
        <v>20</v>
      </c>
      <c r="D16" s="6" t="n">
        <v>50</v>
      </c>
      <c r="E16" s="6" t="n">
        <v>50</v>
      </c>
      <c r="F16" s="7" t="s">
        <v>25</v>
      </c>
    </row>
    <row r="17" customFormat="false" ht="19.5" hidden="false" customHeight="true" outlineLevel="0" collapsed="false">
      <c r="A17" s="4" t="s">
        <v>26</v>
      </c>
      <c r="B17" s="4"/>
      <c r="C17" s="4"/>
      <c r="D17" s="4"/>
      <c r="E17" s="4"/>
      <c r="F17" s="4"/>
    </row>
    <row r="18" customFormat="false" ht="15" hidden="false" customHeight="false" outlineLevel="0" collapsed="false">
      <c r="A18" s="5" t="s">
        <v>27</v>
      </c>
      <c r="B18" s="6" t="n">
        <v>80</v>
      </c>
      <c r="C18" s="6" t="n">
        <v>80</v>
      </c>
      <c r="D18" s="6" t="n">
        <v>30</v>
      </c>
      <c r="E18" s="6" t="n">
        <v>30</v>
      </c>
      <c r="F18" s="7" t="s">
        <v>28</v>
      </c>
    </row>
    <row r="19" customFormat="false" ht="15" hidden="false" customHeight="false" outlineLevel="0" collapsed="false">
      <c r="A19" s="5" t="s">
        <v>29</v>
      </c>
      <c r="B19" s="6" t="n">
        <v>2.8</v>
      </c>
      <c r="C19" s="6" t="n">
        <v>3</v>
      </c>
      <c r="D19" s="6" t="n">
        <v>2.8</v>
      </c>
      <c r="E19" s="6" t="n">
        <v>2.8</v>
      </c>
      <c r="F19" s="7" t="s">
        <v>30</v>
      </c>
    </row>
    <row r="20" customFormat="false" ht="19.5" hidden="false" customHeight="true" outlineLevel="0" collapsed="false">
      <c r="A20" s="4" t="s">
        <v>31</v>
      </c>
      <c r="B20" s="4"/>
      <c r="C20" s="4"/>
      <c r="D20" s="4"/>
      <c r="E20" s="4"/>
      <c r="F20" s="4"/>
    </row>
    <row r="21" customFormat="false" ht="23.85" hidden="false" customHeight="false" outlineLevel="0" collapsed="false">
      <c r="A21" s="5" t="s">
        <v>32</v>
      </c>
      <c r="B21" s="6" t="n">
        <v>24</v>
      </c>
      <c r="C21" s="6" t="n">
        <v>20</v>
      </c>
      <c r="D21" s="6" t="n">
        <v>22</v>
      </c>
      <c r="E21" s="6" t="n">
        <v>24</v>
      </c>
      <c r="F21" s="8" t="s">
        <v>33</v>
      </c>
    </row>
    <row r="22" customFormat="false" ht="15" hidden="false" customHeight="false" outlineLevel="0" collapsed="false">
      <c r="A22" s="5" t="s">
        <v>34</v>
      </c>
      <c r="B22" s="6" t="s">
        <v>35</v>
      </c>
      <c r="C22" s="6" t="s">
        <v>35</v>
      </c>
      <c r="D22" s="6" t="s">
        <v>35</v>
      </c>
      <c r="E22" s="6" t="s">
        <v>35</v>
      </c>
      <c r="F22" s="7" t="s">
        <v>36</v>
      </c>
    </row>
    <row r="23" customFormat="false" ht="15" hidden="false" customHeight="false" outlineLevel="0" collapsed="false">
      <c r="A23" s="5" t="s">
        <v>37</v>
      </c>
      <c r="B23" s="6" t="s">
        <v>38</v>
      </c>
      <c r="C23" s="6" t="s">
        <v>38</v>
      </c>
      <c r="D23" s="6" t="s">
        <v>38</v>
      </c>
      <c r="E23" s="6" t="s">
        <v>38</v>
      </c>
      <c r="F23" s="7" t="s">
        <v>39</v>
      </c>
    </row>
    <row r="24" customFormat="false" ht="19.5" hidden="false" customHeight="true" outlineLevel="0" collapsed="false">
      <c r="A24" s="4" t="s">
        <v>40</v>
      </c>
      <c r="B24" s="4"/>
      <c r="C24" s="4"/>
      <c r="D24" s="4"/>
      <c r="E24" s="4"/>
      <c r="F24" s="4"/>
    </row>
    <row r="25" customFormat="false" ht="15" hidden="false" customHeight="false" outlineLevel="0" collapsed="false">
      <c r="A25" s="5" t="s">
        <v>41</v>
      </c>
      <c r="B25" s="6" t="s">
        <v>35</v>
      </c>
      <c r="C25" s="6" t="s">
        <v>38</v>
      </c>
      <c r="D25" s="6" t="s">
        <v>38</v>
      </c>
      <c r="E25" s="6" t="s">
        <v>35</v>
      </c>
      <c r="F25" s="7" t="s">
        <v>42</v>
      </c>
    </row>
    <row r="26" customFormat="false" ht="15" hidden="false" customHeight="false" outlineLevel="0" collapsed="false">
      <c r="A26" s="5" t="s">
        <v>43</v>
      </c>
      <c r="B26" s="6" t="s">
        <v>38</v>
      </c>
      <c r="C26" s="6" t="s">
        <v>44</v>
      </c>
      <c r="D26" s="6" t="s">
        <v>38</v>
      </c>
      <c r="E26" s="6" t="s">
        <v>38</v>
      </c>
      <c r="F26" s="8" t="s">
        <v>45</v>
      </c>
    </row>
    <row r="27" customFormat="false" ht="15" hidden="false" customHeight="false" outlineLevel="0" collapsed="false">
      <c r="A27" s="5" t="s">
        <v>46</v>
      </c>
      <c r="B27" s="6" t="s">
        <v>38</v>
      </c>
      <c r="C27" s="6" t="s">
        <v>44</v>
      </c>
      <c r="D27" s="6" t="s">
        <v>38</v>
      </c>
      <c r="E27" s="6" t="s">
        <v>38</v>
      </c>
      <c r="F27" s="8" t="s">
        <v>45</v>
      </c>
    </row>
    <row r="28" customFormat="false" ht="15" hidden="false" customHeight="false" outlineLevel="0" collapsed="false">
      <c r="A28" s="5" t="s">
        <v>47</v>
      </c>
      <c r="B28" s="6" t="n">
        <v>1.7</v>
      </c>
      <c r="C28" s="6" t="n">
        <v>1.3</v>
      </c>
      <c r="D28" s="6" t="n">
        <v>1.4</v>
      </c>
      <c r="E28" s="6" t="n">
        <v>1.7</v>
      </c>
      <c r="F28" s="7" t="s">
        <v>48</v>
      </c>
    </row>
  </sheetData>
  <mergeCells count="8">
    <mergeCell ref="A1:F1"/>
    <mergeCell ref="A2:F2"/>
    <mergeCell ref="A5:F5"/>
    <mergeCell ref="A7:F7"/>
    <mergeCell ref="A12:F12"/>
    <mergeCell ref="A17:F17"/>
    <mergeCell ref="A20:F20"/>
    <mergeCell ref="A24:F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4" topLeftCell="C5" activePane="bottomRight" state="frozen"/>
      <selection pane="topLeft" activeCell="A1" activeCellId="0" sqref="A1"/>
      <selection pane="topRight" activeCell="C1" activeCellId="0" sqref="C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1"/>
    <col collapsed="false" customWidth="true" hidden="false" outlineLevel="0" max="6" min="3" style="0" width="28"/>
    <col collapsed="false" customWidth="true" hidden="false" outlineLevel="0" max="7" min="7" style="0" width="42"/>
  </cols>
  <sheetData>
    <row r="1" customFormat="false" ht="24" hidden="false" customHeight="true" outlineLevel="0" collapsed="false">
      <c r="A1" s="1" t="s">
        <v>49</v>
      </c>
      <c r="B1" s="1"/>
      <c r="C1" s="1"/>
      <c r="D1" s="1"/>
      <c r="E1" s="1"/>
      <c r="F1" s="1"/>
      <c r="G1" s="1"/>
    </row>
    <row r="2" customFormat="false" ht="15" hidden="false" customHeight="false" outlineLevel="0" collapsed="false">
      <c r="A2" s="2" t="s">
        <v>50</v>
      </c>
      <c r="B2" s="2"/>
      <c r="C2" s="2"/>
      <c r="D2" s="2"/>
      <c r="E2" s="2"/>
      <c r="F2" s="2"/>
      <c r="G2" s="2"/>
    </row>
    <row r="4" customFormat="false" ht="24" hidden="false" customHeight="true" outlineLevel="0" collapsed="false">
      <c r="A4" s="3" t="s">
        <v>51</v>
      </c>
      <c r="B4" s="3" t="s">
        <v>52</v>
      </c>
      <c r="C4" s="3" t="s">
        <v>3</v>
      </c>
      <c r="D4" s="3" t="s">
        <v>4</v>
      </c>
      <c r="E4" s="3" t="s">
        <v>53</v>
      </c>
      <c r="F4" s="3" t="s">
        <v>54</v>
      </c>
      <c r="G4" s="3" t="s">
        <v>55</v>
      </c>
    </row>
    <row r="5" customFormat="false" ht="19.5" hidden="false" customHeight="true" outlineLevel="0" collapsed="false">
      <c r="A5" s="9" t="s">
        <v>56</v>
      </c>
      <c r="B5" s="6" t="s">
        <v>57</v>
      </c>
      <c r="C5" s="6" t="s">
        <v>58</v>
      </c>
      <c r="D5" s="6" t="s">
        <v>58</v>
      </c>
      <c r="E5" s="6" t="s">
        <v>58</v>
      </c>
      <c r="F5" s="6" t="s">
        <v>58</v>
      </c>
      <c r="G5" s="7" t="s">
        <v>59</v>
      </c>
    </row>
    <row r="6" customFormat="false" ht="19.5" hidden="false" customHeight="true" outlineLevel="0" collapsed="false">
      <c r="A6" s="9" t="s">
        <v>60</v>
      </c>
      <c r="B6" s="6" t="s">
        <v>61</v>
      </c>
      <c r="C6" s="6" t="s">
        <v>58</v>
      </c>
      <c r="D6" s="6" t="s">
        <v>58</v>
      </c>
      <c r="E6" s="10" t="s">
        <v>62</v>
      </c>
      <c r="F6" s="10" t="s">
        <v>62</v>
      </c>
      <c r="G6" s="7" t="s">
        <v>63</v>
      </c>
    </row>
    <row r="7" customFormat="false" ht="19.5" hidden="false" customHeight="true" outlineLevel="0" collapsed="false">
      <c r="A7" s="9" t="s">
        <v>64</v>
      </c>
      <c r="B7" s="6" t="s">
        <v>65</v>
      </c>
      <c r="C7" s="6" t="s">
        <v>58</v>
      </c>
      <c r="D7" s="6" t="s">
        <v>58</v>
      </c>
      <c r="E7" s="10" t="s">
        <v>66</v>
      </c>
      <c r="F7" s="10" t="s">
        <v>66</v>
      </c>
      <c r="G7" s="7"/>
    </row>
    <row r="8" customFormat="false" ht="19.5" hidden="false" customHeight="true" outlineLevel="0" collapsed="false">
      <c r="A8" s="9" t="s">
        <v>67</v>
      </c>
      <c r="B8" s="6" t="s">
        <v>68</v>
      </c>
      <c r="C8" s="6" t="s">
        <v>58</v>
      </c>
      <c r="D8" s="6" t="s">
        <v>58</v>
      </c>
      <c r="E8" s="11" t="s">
        <v>69</v>
      </c>
      <c r="F8" s="11" t="s">
        <v>69</v>
      </c>
      <c r="G8" s="7" t="s">
        <v>70</v>
      </c>
    </row>
    <row r="9" customFormat="false" ht="19.5" hidden="false" customHeight="true" outlineLevel="0" collapsed="false">
      <c r="A9" s="9" t="s">
        <v>71</v>
      </c>
      <c r="B9" s="6" t="s">
        <v>72</v>
      </c>
      <c r="C9" s="6" t="s">
        <v>58</v>
      </c>
      <c r="D9" s="6" t="s">
        <v>58</v>
      </c>
      <c r="E9" s="6" t="s">
        <v>73</v>
      </c>
      <c r="F9" s="6" t="s">
        <v>73</v>
      </c>
      <c r="G9" s="7"/>
    </row>
    <row r="10" customFormat="false" ht="19.5" hidden="false" customHeight="true" outlineLevel="0" collapsed="false">
      <c r="A10" s="9" t="s">
        <v>74</v>
      </c>
      <c r="B10" s="6" t="s">
        <v>75</v>
      </c>
      <c r="C10" s="10" t="s">
        <v>62</v>
      </c>
      <c r="D10" s="10" t="s">
        <v>62</v>
      </c>
      <c r="E10" s="6" t="s">
        <v>73</v>
      </c>
      <c r="F10" s="6" t="s">
        <v>73</v>
      </c>
      <c r="G10" s="7" t="s">
        <v>76</v>
      </c>
    </row>
    <row r="11" customFormat="false" ht="19.5" hidden="false" customHeight="true" outlineLevel="0" collapsed="false">
      <c r="A11" s="9" t="s">
        <v>77</v>
      </c>
      <c r="B11" s="6" t="s">
        <v>78</v>
      </c>
      <c r="C11" s="10" t="s">
        <v>66</v>
      </c>
      <c r="D11" s="10" t="s">
        <v>66</v>
      </c>
      <c r="E11" s="6" t="s">
        <v>73</v>
      </c>
      <c r="F11" s="6" t="s">
        <v>73</v>
      </c>
      <c r="G11" s="7"/>
    </row>
    <row r="12" customFormat="false" ht="19.5" hidden="false" customHeight="true" outlineLevel="0" collapsed="false">
      <c r="A12" s="9" t="s">
        <v>79</v>
      </c>
      <c r="B12" s="6" t="s">
        <v>80</v>
      </c>
      <c r="C12" s="11" t="s">
        <v>69</v>
      </c>
      <c r="D12" s="11" t="s">
        <v>69</v>
      </c>
      <c r="E12" s="6" t="s">
        <v>73</v>
      </c>
      <c r="F12" s="6" t="s">
        <v>73</v>
      </c>
      <c r="G12" s="7" t="s">
        <v>81</v>
      </c>
    </row>
    <row r="13" customFormat="false" ht="19.5" hidden="false" customHeight="true" outlineLevel="0" collapsed="false">
      <c r="A13" s="9" t="s">
        <v>82</v>
      </c>
      <c r="B13" s="6" t="s">
        <v>56</v>
      </c>
      <c r="C13" s="6" t="s">
        <v>73</v>
      </c>
      <c r="D13" s="6" t="s">
        <v>73</v>
      </c>
      <c r="E13" s="6" t="s">
        <v>73</v>
      </c>
      <c r="F13" s="6" t="s">
        <v>73</v>
      </c>
      <c r="G13" s="7" t="s">
        <v>83</v>
      </c>
    </row>
    <row r="14" customFormat="false" ht="19.5" hidden="false" customHeight="true" outlineLevel="0" collapsed="false">
      <c r="A14" s="9" t="s">
        <v>84</v>
      </c>
      <c r="B14" s="6" t="s">
        <v>71</v>
      </c>
      <c r="C14" s="6" t="s">
        <v>73</v>
      </c>
      <c r="D14" s="12" t="s">
        <v>85</v>
      </c>
      <c r="E14" s="6" t="s">
        <v>73</v>
      </c>
      <c r="F14" s="6" t="s">
        <v>73</v>
      </c>
      <c r="G14" s="7" t="s">
        <v>86</v>
      </c>
    </row>
    <row r="15" customFormat="false" ht="19.5" hidden="false" customHeight="true" outlineLevel="0" collapsed="false">
      <c r="A15" s="9" t="s">
        <v>87</v>
      </c>
      <c r="B15" s="6" t="s">
        <v>79</v>
      </c>
      <c r="C15" s="6" t="s">
        <v>73</v>
      </c>
      <c r="D15" s="13" t="s">
        <v>88</v>
      </c>
      <c r="E15" s="6" t="s">
        <v>73</v>
      </c>
      <c r="F15" s="6" t="s">
        <v>73</v>
      </c>
      <c r="G15" s="7"/>
    </row>
    <row r="16" customFormat="false" ht="19.5" hidden="false" customHeight="true" outlineLevel="0" collapsed="false">
      <c r="A16" s="9" t="s">
        <v>89</v>
      </c>
      <c r="B16" s="6" t="s">
        <v>82</v>
      </c>
      <c r="C16" s="14" t="s">
        <v>90</v>
      </c>
      <c r="D16" s="14" t="s">
        <v>90</v>
      </c>
      <c r="E16" s="14" t="s">
        <v>90</v>
      </c>
      <c r="F16" s="14" t="s">
        <v>90</v>
      </c>
      <c r="G16" s="7" t="s">
        <v>91</v>
      </c>
    </row>
    <row r="18" customFormat="false" ht="15" hidden="false" customHeight="false" outlineLevel="0" collapsed="false">
      <c r="A18" s="15" t="s">
        <v>92</v>
      </c>
    </row>
    <row r="19" customFormat="false" ht="15" hidden="false" customHeight="false" outlineLevel="0" collapsed="false">
      <c r="A19" s="16" t="s">
        <v>58</v>
      </c>
      <c r="B19" s="2" t="s">
        <v>93</v>
      </c>
      <c r="C19" s="2"/>
      <c r="D19" s="2"/>
      <c r="E19" s="2"/>
      <c r="F19" s="2"/>
      <c r="G19" s="2"/>
    </row>
    <row r="20" customFormat="false" ht="15" hidden="false" customHeight="false" outlineLevel="0" collapsed="false">
      <c r="A20" s="16" t="s">
        <v>94</v>
      </c>
      <c r="B20" s="2" t="s">
        <v>95</v>
      </c>
      <c r="C20" s="2"/>
      <c r="D20" s="2"/>
      <c r="E20" s="2"/>
      <c r="F20" s="2"/>
      <c r="G20" s="2"/>
    </row>
    <row r="21" customFormat="false" ht="15" hidden="false" customHeight="false" outlineLevel="0" collapsed="false">
      <c r="A21" s="16" t="s">
        <v>96</v>
      </c>
      <c r="B21" s="2" t="s">
        <v>97</v>
      </c>
      <c r="C21" s="2"/>
      <c r="D21" s="2"/>
      <c r="E21" s="2"/>
      <c r="F21" s="2"/>
      <c r="G21" s="2"/>
    </row>
    <row r="22" customFormat="false" ht="15" hidden="false" customHeight="false" outlineLevel="0" collapsed="false">
      <c r="A22" s="16" t="s">
        <v>73</v>
      </c>
      <c r="B22" s="2" t="s">
        <v>98</v>
      </c>
      <c r="C22" s="2"/>
      <c r="D22" s="2"/>
      <c r="E22" s="2"/>
      <c r="F22" s="2"/>
      <c r="G22" s="2"/>
    </row>
    <row r="23" customFormat="false" ht="15" hidden="false" customHeight="false" outlineLevel="0" collapsed="false">
      <c r="A23" s="16" t="s">
        <v>99</v>
      </c>
      <c r="B23" s="2" t="s">
        <v>100</v>
      </c>
      <c r="C23" s="2"/>
      <c r="D23" s="2"/>
      <c r="E23" s="2"/>
      <c r="F23" s="2"/>
      <c r="G23" s="2"/>
    </row>
    <row r="24" customFormat="false" ht="15" hidden="false" customHeight="false" outlineLevel="0" collapsed="false">
      <c r="A24" s="16" t="s">
        <v>101</v>
      </c>
      <c r="B24" s="2" t="s">
        <v>102</v>
      </c>
      <c r="C24" s="2"/>
      <c r="D24" s="2"/>
      <c r="E24" s="2"/>
      <c r="F24" s="2"/>
      <c r="G24" s="2"/>
    </row>
  </sheetData>
  <mergeCells count="8">
    <mergeCell ref="A1:G1"/>
    <mergeCell ref="A2:G2"/>
    <mergeCell ref="B19:G19"/>
    <mergeCell ref="B20:G20"/>
    <mergeCell ref="B21:G21"/>
    <mergeCell ref="B22:G22"/>
    <mergeCell ref="B23:G23"/>
    <mergeCell ref="B24:G2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80"/>
    <col collapsed="false" customWidth="true" hidden="false" outlineLevel="0" max="3" min="3" style="0" width="18"/>
  </cols>
  <sheetData>
    <row r="1" customFormat="false" ht="24" hidden="false" customHeight="true" outlineLevel="0" collapsed="false">
      <c r="A1" s="1" t="s">
        <v>103</v>
      </c>
      <c r="B1" s="1"/>
      <c r="C1" s="1"/>
    </row>
    <row r="3" customFormat="false" ht="15" hidden="false" customHeight="false" outlineLevel="0" collapsed="false">
      <c r="A3" s="3" t="s">
        <v>104</v>
      </c>
      <c r="B3" s="3" t="s">
        <v>105</v>
      </c>
      <c r="C3" s="3" t="s">
        <v>106</v>
      </c>
    </row>
    <row r="4" customFormat="false" ht="19.5" hidden="false" customHeight="true" outlineLevel="0" collapsed="false">
      <c r="A4" s="4" t="s">
        <v>107</v>
      </c>
      <c r="B4" s="4"/>
      <c r="C4" s="4"/>
    </row>
    <row r="5" customFormat="false" ht="21.75" hidden="false" customHeight="true" outlineLevel="0" collapsed="false">
      <c r="A5" s="9" t="s">
        <v>108</v>
      </c>
      <c r="B5" s="7" t="s">
        <v>109</v>
      </c>
      <c r="C5" s="6" t="s">
        <v>110</v>
      </c>
    </row>
    <row r="6" customFormat="false" ht="21.75" hidden="false" customHeight="true" outlineLevel="0" collapsed="false">
      <c r="A6" s="9" t="s">
        <v>108</v>
      </c>
      <c r="B6" s="7" t="s">
        <v>111</v>
      </c>
      <c r="C6" s="6" t="s">
        <v>110</v>
      </c>
    </row>
    <row r="7" customFormat="false" ht="21.75" hidden="false" customHeight="true" outlineLevel="0" collapsed="false">
      <c r="A7" s="9" t="s">
        <v>108</v>
      </c>
      <c r="B7" s="7" t="s">
        <v>112</v>
      </c>
      <c r="C7" s="6" t="s">
        <v>113</v>
      </c>
    </row>
    <row r="8" customFormat="false" ht="21.75" hidden="false" customHeight="true" outlineLevel="0" collapsed="false">
      <c r="A8" s="9" t="s">
        <v>108</v>
      </c>
      <c r="B8" s="7" t="s">
        <v>114</v>
      </c>
      <c r="C8" s="6" t="s">
        <v>113</v>
      </c>
    </row>
    <row r="9" customFormat="false" ht="21.75" hidden="false" customHeight="true" outlineLevel="0" collapsed="false">
      <c r="A9" s="9" t="s">
        <v>108</v>
      </c>
      <c r="B9" s="7" t="s">
        <v>115</v>
      </c>
      <c r="C9" s="6" t="s">
        <v>113</v>
      </c>
    </row>
    <row r="10" customFormat="false" ht="21.75" hidden="false" customHeight="true" outlineLevel="0" collapsed="false">
      <c r="A10" s="9" t="s">
        <v>108</v>
      </c>
      <c r="B10" s="7" t="s">
        <v>116</v>
      </c>
      <c r="C10" s="6" t="s">
        <v>117</v>
      </c>
    </row>
    <row r="11" customFormat="false" ht="21.75" hidden="false" customHeight="true" outlineLevel="0" collapsed="false">
      <c r="A11" s="9" t="s">
        <v>108</v>
      </c>
      <c r="B11" s="7" t="s">
        <v>118</v>
      </c>
      <c r="C11" s="6" t="s">
        <v>119</v>
      </c>
    </row>
    <row r="12" customFormat="false" ht="19.5" hidden="false" customHeight="true" outlineLevel="0" collapsed="false">
      <c r="A12" s="4" t="s">
        <v>120</v>
      </c>
      <c r="B12" s="4"/>
      <c r="C12" s="4"/>
    </row>
    <row r="13" customFormat="false" ht="21.75" hidden="false" customHeight="true" outlineLevel="0" collapsed="false">
      <c r="A13" s="9" t="s">
        <v>108</v>
      </c>
      <c r="B13" s="7" t="s">
        <v>121</v>
      </c>
      <c r="C13" s="6" t="s">
        <v>122</v>
      </c>
    </row>
    <row r="14" customFormat="false" ht="21.75" hidden="false" customHeight="true" outlineLevel="0" collapsed="false">
      <c r="A14" s="9" t="s">
        <v>108</v>
      </c>
      <c r="B14" s="7" t="s">
        <v>123</v>
      </c>
      <c r="C14" s="6" t="s">
        <v>67</v>
      </c>
    </row>
    <row r="15" customFormat="false" ht="21.75" hidden="false" customHeight="true" outlineLevel="0" collapsed="false">
      <c r="A15" s="9" t="s">
        <v>108</v>
      </c>
      <c r="B15" s="7" t="s">
        <v>124</v>
      </c>
      <c r="C15" s="6" t="s">
        <v>67</v>
      </c>
    </row>
    <row r="16" customFormat="false" ht="21.75" hidden="false" customHeight="true" outlineLevel="0" collapsed="false">
      <c r="A16" s="9" t="s">
        <v>108</v>
      </c>
      <c r="B16" s="7" t="s">
        <v>125</v>
      </c>
      <c r="C16" s="6" t="s">
        <v>126</v>
      </c>
    </row>
    <row r="17" customFormat="false" ht="21.75" hidden="false" customHeight="true" outlineLevel="0" collapsed="false">
      <c r="A17" s="9" t="s">
        <v>108</v>
      </c>
      <c r="B17" s="7" t="s">
        <v>127</v>
      </c>
      <c r="C17" s="6" t="s">
        <v>126</v>
      </c>
    </row>
    <row r="18" customFormat="false" ht="21.75" hidden="false" customHeight="true" outlineLevel="0" collapsed="false">
      <c r="A18" s="9" t="s">
        <v>108</v>
      </c>
      <c r="B18" s="7" t="s">
        <v>128</v>
      </c>
      <c r="C18" s="6" t="s">
        <v>126</v>
      </c>
    </row>
    <row r="19" customFormat="false" ht="21.75" hidden="false" customHeight="true" outlineLevel="0" collapsed="false">
      <c r="A19" s="9" t="s">
        <v>108</v>
      </c>
      <c r="B19" s="7" t="s">
        <v>129</v>
      </c>
      <c r="C19" s="6" t="s">
        <v>130</v>
      </c>
    </row>
    <row r="20" customFormat="false" ht="21.75" hidden="false" customHeight="true" outlineLevel="0" collapsed="false">
      <c r="A20" s="9" t="s">
        <v>108</v>
      </c>
      <c r="B20" s="7" t="s">
        <v>131</v>
      </c>
      <c r="C20" s="6" t="s">
        <v>132</v>
      </c>
    </row>
    <row r="21" customFormat="false" ht="19.5" hidden="false" customHeight="true" outlineLevel="0" collapsed="false">
      <c r="A21" s="4" t="s">
        <v>133</v>
      </c>
      <c r="B21" s="4"/>
      <c r="C21" s="4"/>
    </row>
    <row r="22" customFormat="false" ht="21.75" hidden="false" customHeight="true" outlineLevel="0" collapsed="false">
      <c r="A22" s="9" t="s">
        <v>108</v>
      </c>
      <c r="B22" s="7" t="s">
        <v>134</v>
      </c>
      <c r="C22" s="6" t="s">
        <v>135</v>
      </c>
    </row>
    <row r="23" customFormat="false" ht="21.75" hidden="false" customHeight="true" outlineLevel="0" collapsed="false">
      <c r="A23" s="9" t="s">
        <v>108</v>
      </c>
      <c r="B23" s="7" t="s">
        <v>136</v>
      </c>
      <c r="C23" s="6" t="s">
        <v>79</v>
      </c>
    </row>
    <row r="24" customFormat="false" ht="21.75" hidden="false" customHeight="true" outlineLevel="0" collapsed="false">
      <c r="A24" s="9" t="s">
        <v>108</v>
      </c>
      <c r="B24" s="7" t="s">
        <v>137</v>
      </c>
      <c r="C24" s="6" t="s">
        <v>126</v>
      </c>
    </row>
    <row r="25" customFormat="false" ht="21.75" hidden="false" customHeight="true" outlineLevel="0" collapsed="false">
      <c r="A25" s="9" t="s">
        <v>108</v>
      </c>
      <c r="B25" s="7" t="s">
        <v>138</v>
      </c>
      <c r="C25" s="6" t="s">
        <v>126</v>
      </c>
    </row>
    <row r="26" customFormat="false" ht="21.75" hidden="false" customHeight="true" outlineLevel="0" collapsed="false">
      <c r="A26" s="9" t="s">
        <v>108</v>
      </c>
      <c r="B26" s="7" t="s">
        <v>139</v>
      </c>
      <c r="C26" s="6" t="s">
        <v>130</v>
      </c>
    </row>
    <row r="27" customFormat="false" ht="21.75" hidden="false" customHeight="true" outlineLevel="0" collapsed="false">
      <c r="A27" s="9" t="s">
        <v>108</v>
      </c>
      <c r="B27" s="7" t="s">
        <v>140</v>
      </c>
      <c r="C27" s="6" t="s">
        <v>132</v>
      </c>
    </row>
    <row r="28" customFormat="false" ht="21.75" hidden="false" customHeight="true" outlineLevel="0" collapsed="false">
      <c r="A28" s="9" t="s">
        <v>108</v>
      </c>
      <c r="B28" s="7" t="s">
        <v>141</v>
      </c>
      <c r="C28" s="6" t="s">
        <v>84</v>
      </c>
    </row>
    <row r="29" customFormat="false" ht="19.5" hidden="false" customHeight="true" outlineLevel="0" collapsed="false">
      <c r="A29" s="4" t="s">
        <v>142</v>
      </c>
      <c r="B29" s="4"/>
      <c r="C29" s="4"/>
    </row>
    <row r="30" customFormat="false" ht="21.75" hidden="false" customHeight="true" outlineLevel="0" collapsed="false">
      <c r="A30" s="9" t="s">
        <v>108</v>
      </c>
      <c r="B30" s="7" t="s">
        <v>143</v>
      </c>
      <c r="C30" s="6" t="s">
        <v>89</v>
      </c>
    </row>
    <row r="31" customFormat="false" ht="21.75" hidden="false" customHeight="true" outlineLevel="0" collapsed="false">
      <c r="A31" s="9" t="s">
        <v>108</v>
      </c>
      <c r="B31" s="7" t="s">
        <v>144</v>
      </c>
      <c r="C31" s="6" t="s">
        <v>145</v>
      </c>
    </row>
    <row r="32" customFormat="false" ht="21.75" hidden="false" customHeight="true" outlineLevel="0" collapsed="false">
      <c r="A32" s="9" t="s">
        <v>108</v>
      </c>
      <c r="B32" s="7" t="s">
        <v>146</v>
      </c>
      <c r="C32" s="6" t="s">
        <v>145</v>
      </c>
    </row>
    <row r="33" customFormat="false" ht="21.75" hidden="false" customHeight="true" outlineLevel="0" collapsed="false">
      <c r="A33" s="9" t="s">
        <v>108</v>
      </c>
      <c r="B33" s="7" t="s">
        <v>147</v>
      </c>
      <c r="C33" s="6" t="s">
        <v>148</v>
      </c>
    </row>
    <row r="34" customFormat="false" ht="21.75" hidden="false" customHeight="true" outlineLevel="0" collapsed="false">
      <c r="A34" s="9" t="s">
        <v>108</v>
      </c>
      <c r="B34" s="7" t="s">
        <v>149</v>
      </c>
      <c r="C34" s="6" t="s">
        <v>148</v>
      </c>
    </row>
  </sheetData>
  <mergeCells count="5">
    <mergeCell ref="A1:C1"/>
    <mergeCell ref="A4:C4"/>
    <mergeCell ref="A12:C12"/>
    <mergeCell ref="A21:C21"/>
    <mergeCell ref="A29:C29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" min="1" style="0" width="18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5" min="5" style="0" width="22"/>
    <col collapsed="false" customWidth="true" hidden="false" outlineLevel="0" max="6" min="6" style="0" width="12"/>
  </cols>
  <sheetData>
    <row r="1" customFormat="false" ht="24" hidden="false" customHeight="true" outlineLevel="0" collapsed="false">
      <c r="A1" s="1" t="s">
        <v>150</v>
      </c>
      <c r="B1" s="1"/>
      <c r="C1" s="1"/>
      <c r="D1" s="1"/>
      <c r="E1" s="1"/>
      <c r="F1" s="1"/>
    </row>
    <row r="2" customFormat="false" ht="15" hidden="false" customHeight="false" outlineLevel="0" collapsed="false">
      <c r="A2" s="2" t="s">
        <v>151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17" t="s">
        <v>152</v>
      </c>
      <c r="B4" s="17"/>
      <c r="C4" s="17"/>
      <c r="D4" s="17"/>
      <c r="E4" s="17"/>
      <c r="F4" s="17"/>
    </row>
    <row r="5" customFormat="false" ht="15" hidden="false" customHeight="false" outlineLevel="0" collapsed="false">
      <c r="A5" s="16" t="s">
        <v>153</v>
      </c>
      <c r="B5" s="18" t="n">
        <v>10000</v>
      </c>
    </row>
    <row r="6" customFormat="false" ht="15" hidden="false" customHeight="false" outlineLevel="0" collapsed="false">
      <c r="A6" s="16" t="s">
        <v>154</v>
      </c>
      <c r="B6" s="18" t="n">
        <v>2</v>
      </c>
    </row>
    <row r="7" customFormat="false" ht="15" hidden="false" customHeight="false" outlineLevel="0" collapsed="false">
      <c r="A7" s="16" t="s">
        <v>155</v>
      </c>
      <c r="B7" s="19" t="n">
        <f aca="false">B5*B6/100</f>
        <v>200</v>
      </c>
    </row>
    <row r="9" customFormat="false" ht="15" hidden="false" customHeight="false" outlineLevel="0" collapsed="false">
      <c r="A9" s="17" t="s">
        <v>156</v>
      </c>
      <c r="B9" s="17"/>
      <c r="C9" s="17"/>
      <c r="D9" s="17"/>
      <c r="E9" s="17"/>
      <c r="F9" s="17"/>
    </row>
    <row r="10" customFormat="false" ht="15" hidden="false" customHeight="false" outlineLevel="0" collapsed="false">
      <c r="A10" s="3" t="s">
        <v>157</v>
      </c>
      <c r="B10" s="3" t="s">
        <v>158</v>
      </c>
      <c r="C10" s="3" t="s">
        <v>159</v>
      </c>
      <c r="D10" s="3" t="s">
        <v>160</v>
      </c>
      <c r="E10" s="3" t="s">
        <v>161</v>
      </c>
      <c r="F10" s="3" t="s">
        <v>162</v>
      </c>
    </row>
    <row r="11" customFormat="false" ht="15" hidden="false" customHeight="false" outlineLevel="0" collapsed="false">
      <c r="A11" s="5" t="s">
        <v>3</v>
      </c>
      <c r="B11" s="20" t="n">
        <v>0.0015</v>
      </c>
      <c r="C11" s="20" t="n">
        <v>1.2</v>
      </c>
      <c r="D11" s="21" t="n">
        <f aca="false">B11*C11</f>
        <v>0.0018</v>
      </c>
      <c r="E11" s="22" t="n">
        <f aca="false">D11*100000</f>
        <v>180</v>
      </c>
      <c r="F11" s="23" t="n">
        <f aca="false">ROUND($B$7/E11,2)</f>
        <v>1.11</v>
      </c>
    </row>
    <row r="12" customFormat="false" ht="15" hidden="false" customHeight="false" outlineLevel="0" collapsed="false">
      <c r="A12" s="5" t="s">
        <v>4</v>
      </c>
      <c r="B12" s="20" t="n">
        <v>0.0012</v>
      </c>
      <c r="C12" s="20" t="n">
        <v>2</v>
      </c>
      <c r="D12" s="21" t="n">
        <f aca="false">B12*C12</f>
        <v>0.0024</v>
      </c>
      <c r="E12" s="22" t="n">
        <f aca="false">D12*100000</f>
        <v>240</v>
      </c>
      <c r="F12" s="23" t="n">
        <f aca="false">ROUND($B$7/E12,2)</f>
        <v>0.83</v>
      </c>
    </row>
    <row r="13" customFormat="false" ht="15" hidden="false" customHeight="false" outlineLevel="0" collapsed="false">
      <c r="A13" s="5" t="s">
        <v>163</v>
      </c>
      <c r="B13" s="20" t="n">
        <v>0.5</v>
      </c>
      <c r="C13" s="20" t="n">
        <v>2</v>
      </c>
      <c r="D13" s="21" t="n">
        <f aca="false">B13*C13</f>
        <v>1</v>
      </c>
      <c r="E13" s="22" t="n">
        <f aca="false">D13*5000</f>
        <v>5000</v>
      </c>
      <c r="F13" s="23" t="n">
        <f aca="false">ROUND($B$7/E13,2)</f>
        <v>0.04</v>
      </c>
    </row>
    <row r="14" customFormat="false" ht="15" hidden="false" customHeight="false" outlineLevel="0" collapsed="false">
      <c r="A14" s="5" t="s">
        <v>164</v>
      </c>
      <c r="B14" s="20" t="n">
        <v>25</v>
      </c>
      <c r="C14" s="20" t="n">
        <v>1</v>
      </c>
      <c r="D14" s="21" t="n">
        <f aca="false">B14*C14</f>
        <v>25</v>
      </c>
      <c r="E14" s="22" t="n">
        <f aca="false">D14*100</f>
        <v>2500</v>
      </c>
      <c r="F14" s="23" t="n">
        <f aca="false">ROUND($B$7/E14,2)</f>
        <v>0.08</v>
      </c>
    </row>
    <row r="16" customFormat="false" ht="31.5" hidden="false" customHeight="true" outlineLevel="0" collapsed="false">
      <c r="A16" s="24" t="s">
        <v>165</v>
      </c>
      <c r="B16" s="24"/>
      <c r="C16" s="24"/>
      <c r="D16" s="24"/>
      <c r="E16" s="24"/>
      <c r="F16" s="24"/>
    </row>
  </sheetData>
  <mergeCells count="5">
    <mergeCell ref="A1:F1"/>
    <mergeCell ref="A2:F2"/>
    <mergeCell ref="A4:F4"/>
    <mergeCell ref="A9:F9"/>
    <mergeCell ref="A16:F1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28"/>
    <col collapsed="false" customWidth="true" hidden="false" outlineLevel="0" max="3" min="3" style="0" width="22"/>
    <col collapsed="false" customWidth="true" hidden="false" outlineLevel="0" max="4" min="4" style="0" width="55"/>
    <col collapsed="false" customWidth="true" hidden="false" outlineLevel="0" max="5" min="5" style="0" width="45"/>
  </cols>
  <sheetData>
    <row r="1" customFormat="false" ht="24" hidden="false" customHeight="true" outlineLevel="0" collapsed="false">
      <c r="A1" s="1" t="s">
        <v>166</v>
      </c>
      <c r="B1" s="1"/>
      <c r="C1" s="1"/>
      <c r="D1" s="1"/>
      <c r="E1" s="1"/>
    </row>
    <row r="2" customFormat="false" ht="15" hidden="false" customHeight="false" outlineLevel="0" collapsed="false">
      <c r="A2" s="2" t="s">
        <v>167</v>
      </c>
      <c r="B2" s="2"/>
      <c r="C2" s="2"/>
      <c r="D2" s="2"/>
      <c r="E2" s="2"/>
    </row>
    <row r="4" customFormat="false" ht="15" hidden="false" customHeight="false" outlineLevel="0" collapsed="false">
      <c r="A4" s="3" t="s">
        <v>168</v>
      </c>
      <c r="B4" s="3" t="s">
        <v>2</v>
      </c>
      <c r="C4" s="3" t="s">
        <v>157</v>
      </c>
      <c r="D4" s="3" t="s">
        <v>169</v>
      </c>
      <c r="E4" s="3" t="s">
        <v>170</v>
      </c>
    </row>
    <row r="5" customFormat="false" ht="79.5" hidden="false" customHeight="true" outlineLevel="0" collapsed="false">
      <c r="A5" s="25" t="n">
        <v>1</v>
      </c>
      <c r="B5" s="26" t="s">
        <v>171</v>
      </c>
      <c r="C5" s="27" t="s">
        <v>164</v>
      </c>
      <c r="D5" s="27" t="s">
        <v>172</v>
      </c>
      <c r="E5" s="27" t="s">
        <v>173</v>
      </c>
    </row>
    <row r="6" customFormat="false" ht="79.5" hidden="false" customHeight="true" outlineLevel="0" collapsed="false">
      <c r="A6" s="28" t="n">
        <v>2</v>
      </c>
      <c r="B6" s="29" t="s">
        <v>174</v>
      </c>
      <c r="C6" s="30" t="s">
        <v>4</v>
      </c>
      <c r="D6" s="30" t="s">
        <v>175</v>
      </c>
      <c r="E6" s="30" t="s">
        <v>176</v>
      </c>
    </row>
    <row r="7" customFormat="false" ht="79.5" hidden="false" customHeight="true" outlineLevel="0" collapsed="false">
      <c r="A7" s="28" t="n">
        <v>3</v>
      </c>
      <c r="B7" s="29" t="s">
        <v>177</v>
      </c>
      <c r="C7" s="30" t="s">
        <v>4</v>
      </c>
      <c r="D7" s="30" t="s">
        <v>178</v>
      </c>
      <c r="E7" s="30" t="s">
        <v>179</v>
      </c>
    </row>
    <row r="8" customFormat="false" ht="79.5" hidden="false" customHeight="true" outlineLevel="0" collapsed="false">
      <c r="A8" s="28" t="n">
        <v>4</v>
      </c>
      <c r="B8" s="29" t="s">
        <v>180</v>
      </c>
      <c r="C8" s="30" t="s">
        <v>181</v>
      </c>
      <c r="D8" s="30" t="s">
        <v>182</v>
      </c>
      <c r="E8" s="30" t="s">
        <v>183</v>
      </c>
    </row>
    <row r="9" customFormat="false" ht="79.5" hidden="false" customHeight="true" outlineLevel="0" collapsed="false">
      <c r="A9" s="28" t="n">
        <v>5</v>
      </c>
      <c r="B9" s="29" t="s">
        <v>184</v>
      </c>
      <c r="C9" s="30" t="s">
        <v>185</v>
      </c>
      <c r="D9" s="30" t="s">
        <v>186</v>
      </c>
      <c r="E9" s="30" t="s">
        <v>187</v>
      </c>
    </row>
    <row r="10" customFormat="false" ht="79.5" hidden="false" customHeight="true" outlineLevel="0" collapsed="false">
      <c r="A10" s="28" t="n">
        <v>6</v>
      </c>
      <c r="B10" s="29" t="s">
        <v>188</v>
      </c>
      <c r="C10" s="30" t="s">
        <v>189</v>
      </c>
      <c r="D10" s="30" t="s">
        <v>190</v>
      </c>
      <c r="E10" s="30" t="s">
        <v>191</v>
      </c>
    </row>
    <row r="11" customFormat="false" ht="79.5" hidden="false" customHeight="true" outlineLevel="0" collapsed="false">
      <c r="A11" s="31" t="n">
        <v>7</v>
      </c>
      <c r="B11" s="32" t="s">
        <v>192</v>
      </c>
      <c r="C11" s="33" t="s">
        <v>163</v>
      </c>
      <c r="D11" s="33" t="s">
        <v>193</v>
      </c>
      <c r="E11" s="33" t="s">
        <v>194</v>
      </c>
    </row>
  </sheetData>
  <mergeCells count="2">
    <mergeCell ref="A1:E1"/>
    <mergeCell ref="A2:E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28"/>
    <col collapsed="false" customWidth="true" hidden="false" outlineLevel="0" max="3" min="3" style="0" width="60"/>
  </cols>
  <sheetData>
    <row r="1" customFormat="false" ht="24" hidden="false" customHeight="true" outlineLevel="0" collapsed="false">
      <c r="A1" s="1" t="s">
        <v>195</v>
      </c>
      <c r="B1" s="1"/>
      <c r="C1" s="1"/>
    </row>
    <row r="2" customFormat="false" ht="15" hidden="false" customHeight="false" outlineLevel="0" collapsed="false">
      <c r="A2" s="2" t="s">
        <v>196</v>
      </c>
      <c r="B2" s="2"/>
      <c r="C2" s="2"/>
    </row>
    <row r="4" customFormat="false" ht="15" hidden="false" customHeight="false" outlineLevel="0" collapsed="false">
      <c r="A4" s="3" t="s">
        <v>197</v>
      </c>
      <c r="B4" s="3" t="s">
        <v>198</v>
      </c>
      <c r="C4" s="3" t="s">
        <v>199</v>
      </c>
    </row>
    <row r="5" customFormat="false" ht="19.5" hidden="false" customHeight="true" outlineLevel="0" collapsed="false">
      <c r="A5" s="4" t="s">
        <v>200</v>
      </c>
      <c r="B5" s="4"/>
      <c r="C5" s="4"/>
    </row>
    <row r="6" customFormat="false" ht="42" hidden="false" customHeight="true" outlineLevel="0" collapsed="false">
      <c r="A6" s="5" t="s">
        <v>201</v>
      </c>
      <c r="B6" s="7" t="s">
        <v>202</v>
      </c>
      <c r="C6" s="7" t="s">
        <v>203</v>
      </c>
    </row>
    <row r="7" customFormat="false" ht="42" hidden="false" customHeight="true" outlineLevel="0" collapsed="false">
      <c r="A7" s="5" t="s">
        <v>204</v>
      </c>
      <c r="B7" s="7" t="s">
        <v>205</v>
      </c>
      <c r="C7" s="7" t="s">
        <v>206</v>
      </c>
    </row>
    <row r="8" customFormat="false" ht="42" hidden="false" customHeight="true" outlineLevel="0" collapsed="false">
      <c r="A8" s="5" t="s">
        <v>207</v>
      </c>
      <c r="B8" s="7" t="s">
        <v>208</v>
      </c>
      <c r="C8" s="7" t="s">
        <v>209</v>
      </c>
    </row>
    <row r="9" customFormat="false" ht="42" hidden="false" customHeight="true" outlineLevel="0" collapsed="false">
      <c r="A9" s="5" t="s">
        <v>210</v>
      </c>
      <c r="B9" s="7" t="s">
        <v>211</v>
      </c>
      <c r="C9" s="7" t="s">
        <v>212</v>
      </c>
    </row>
    <row r="10" customFormat="false" ht="42" hidden="false" customHeight="true" outlineLevel="0" collapsed="false">
      <c r="A10" s="5" t="s">
        <v>213</v>
      </c>
      <c r="B10" s="7" t="s">
        <v>214</v>
      </c>
      <c r="C10" s="7" t="s">
        <v>215</v>
      </c>
    </row>
    <row r="11" customFormat="false" ht="19.5" hidden="false" customHeight="true" outlineLevel="0" collapsed="false">
      <c r="A11" s="4" t="s">
        <v>216</v>
      </c>
      <c r="B11" s="4"/>
      <c r="C11" s="4"/>
    </row>
    <row r="12" customFormat="false" ht="42" hidden="false" customHeight="true" outlineLevel="0" collapsed="false">
      <c r="A12" s="5" t="s">
        <v>217</v>
      </c>
      <c r="B12" s="7" t="s">
        <v>218</v>
      </c>
      <c r="C12" s="7" t="s">
        <v>219</v>
      </c>
    </row>
    <row r="13" customFormat="false" ht="42" hidden="false" customHeight="true" outlineLevel="0" collapsed="false">
      <c r="A13" s="5" t="s">
        <v>220</v>
      </c>
      <c r="B13" s="7" t="s">
        <v>221</v>
      </c>
      <c r="C13" s="7" t="s">
        <v>222</v>
      </c>
    </row>
    <row r="14" customFormat="false" ht="42" hidden="false" customHeight="true" outlineLevel="0" collapsed="false">
      <c r="A14" s="5" t="s">
        <v>223</v>
      </c>
      <c r="B14" s="7" t="s">
        <v>224</v>
      </c>
      <c r="C14" s="7" t="s">
        <v>225</v>
      </c>
    </row>
    <row r="15" customFormat="false" ht="19.5" hidden="false" customHeight="true" outlineLevel="0" collapsed="false">
      <c r="A15" s="4" t="s">
        <v>226</v>
      </c>
      <c r="B15" s="4"/>
      <c r="C15" s="4"/>
    </row>
    <row r="16" customFormat="false" ht="42" hidden="false" customHeight="true" outlineLevel="0" collapsed="false">
      <c r="A16" s="5" t="s">
        <v>227</v>
      </c>
      <c r="B16" s="7" t="s">
        <v>228</v>
      </c>
      <c r="C16" s="7" t="s">
        <v>229</v>
      </c>
    </row>
    <row r="17" customFormat="false" ht="42" hidden="false" customHeight="true" outlineLevel="0" collapsed="false">
      <c r="A17" s="5" t="s">
        <v>230</v>
      </c>
      <c r="B17" s="7" t="s">
        <v>231</v>
      </c>
      <c r="C17" s="7" t="s">
        <v>232</v>
      </c>
    </row>
    <row r="18" customFormat="false" ht="42" hidden="false" customHeight="true" outlineLevel="0" collapsed="false">
      <c r="A18" s="5" t="s">
        <v>233</v>
      </c>
      <c r="B18" s="7" t="s">
        <v>234</v>
      </c>
      <c r="C18" s="7" t="s">
        <v>235</v>
      </c>
    </row>
    <row r="19" customFormat="false" ht="19.5" hidden="false" customHeight="true" outlineLevel="0" collapsed="false">
      <c r="A19" s="4" t="s">
        <v>236</v>
      </c>
      <c r="B19" s="4"/>
      <c r="C19" s="4"/>
    </row>
    <row r="20" customFormat="false" ht="42" hidden="false" customHeight="true" outlineLevel="0" collapsed="false">
      <c r="A20" s="5" t="s">
        <v>237</v>
      </c>
      <c r="B20" s="7" t="s">
        <v>238</v>
      </c>
      <c r="C20" s="7" t="s">
        <v>239</v>
      </c>
    </row>
    <row r="21" customFormat="false" ht="42" hidden="false" customHeight="true" outlineLevel="0" collapsed="false">
      <c r="A21" s="5" t="s">
        <v>240</v>
      </c>
      <c r="B21" s="7" t="s">
        <v>241</v>
      </c>
      <c r="C21" s="7" t="s">
        <v>242</v>
      </c>
    </row>
    <row r="22" customFormat="false" ht="42" hidden="false" customHeight="true" outlineLevel="0" collapsed="false">
      <c r="A22" s="5" t="s">
        <v>243</v>
      </c>
      <c r="B22" s="7" t="s">
        <v>244</v>
      </c>
      <c r="C22" s="7" t="s">
        <v>245</v>
      </c>
    </row>
    <row r="23" customFormat="false" ht="19.5" hidden="false" customHeight="true" outlineLevel="0" collapsed="false">
      <c r="A23" s="4" t="s">
        <v>246</v>
      </c>
      <c r="B23" s="4"/>
      <c r="C23" s="4"/>
    </row>
    <row r="24" customFormat="false" ht="42" hidden="false" customHeight="true" outlineLevel="0" collapsed="false">
      <c r="A24" s="5" t="s">
        <v>247</v>
      </c>
      <c r="B24" s="7" t="s">
        <v>248</v>
      </c>
      <c r="C24" s="7" t="s">
        <v>249</v>
      </c>
    </row>
    <row r="25" customFormat="false" ht="42" hidden="false" customHeight="true" outlineLevel="0" collapsed="false">
      <c r="A25" s="5" t="s">
        <v>250</v>
      </c>
      <c r="B25" s="7" t="s">
        <v>251</v>
      </c>
      <c r="C25" s="7" t="s">
        <v>252</v>
      </c>
    </row>
    <row r="26" customFormat="false" ht="42" hidden="false" customHeight="true" outlineLevel="0" collapsed="false">
      <c r="A26" s="5" t="s">
        <v>253</v>
      </c>
      <c r="B26" s="7" t="s">
        <v>254</v>
      </c>
      <c r="C26" s="7" t="s">
        <v>255</v>
      </c>
    </row>
    <row r="27" customFormat="false" ht="42" hidden="false" customHeight="true" outlineLevel="0" collapsed="false">
      <c r="A27" s="5" t="s">
        <v>256</v>
      </c>
      <c r="B27" s="7" t="s">
        <v>257</v>
      </c>
      <c r="C27" s="7" t="s">
        <v>258</v>
      </c>
    </row>
  </sheetData>
  <mergeCells count="7">
    <mergeCell ref="A1:C1"/>
    <mergeCell ref="A2:C2"/>
    <mergeCell ref="A5:C5"/>
    <mergeCell ref="A11:C11"/>
    <mergeCell ref="A15:C15"/>
    <mergeCell ref="A19:C19"/>
    <mergeCell ref="A23:C2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LibreOffice/26.2.2.2$Linux_AARCH64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2026-05-17T18:12:24Z</dcterms:created>
  <dc:creator>openpyxl</dc:creator>
  <dc:description/>
  <dc:language>en-US</dc:language>
  <cp:lastModifiedBy/>
  <dcterms:modified xsi:type="dcterms:W3CDTF">2026-05-17T18:12:24Z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